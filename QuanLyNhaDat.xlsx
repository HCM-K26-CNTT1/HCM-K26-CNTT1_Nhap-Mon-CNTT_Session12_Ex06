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it-rikkei\it1-cntt1\session-12\btvn-06\"/>
    </mc:Choice>
  </mc:AlternateContent>
  <xr:revisionPtr revIDLastSave="0" documentId="13_ncr:1_{8E87C0A7-6C67-445A-89A2-AC2E7845A4F1}" xr6:coauthVersionLast="47" xr6:coauthVersionMax="47" xr10:uidLastSave="{00000000-0000-0000-0000-000000000000}"/>
  <bookViews>
    <workbookView xWindow="-108" yWindow="-108" windowWidth="23256" windowHeight="12456" xr2:uid="{1BDCDD2F-54C1-4971-A8F8-238F9E054C98}"/>
  </bookViews>
  <sheets>
    <sheet name="NhaDat" sheetId="1" r:id="rId1"/>
    <sheet name="CongThuc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F3" i="1"/>
  <c r="F4" i="1"/>
  <c r="F5" i="1"/>
  <c r="F6" i="1"/>
  <c r="F2" i="1"/>
  <c r="H2" i="1"/>
</calcChain>
</file>

<file path=xl/sharedStrings.xml><?xml version="1.0" encoding="utf-8"?>
<sst xmlns="http://schemas.openxmlformats.org/spreadsheetml/2006/main" count="37" uniqueCount="29">
  <si>
    <t>Mã nhà đất</t>
  </si>
  <si>
    <t>Tên bất động sản</t>
  </si>
  <si>
    <t>Loại hình</t>
  </si>
  <si>
    <t>Giá thuê</t>
  </si>
  <si>
    <t>Chiết khấu</t>
  </si>
  <si>
    <t>Giá sau CK</t>
  </si>
  <si>
    <t>Mã môi giới</t>
  </si>
  <si>
    <t>Hoa hồng</t>
  </si>
  <si>
    <t>SH001</t>
  </si>
  <si>
    <t>Căn hộ A</t>
  </si>
  <si>
    <t>Căn hộ</t>
  </si>
  <si>
    <t>MG01</t>
  </si>
  <si>
    <t>SH002</t>
  </si>
  <si>
    <t>Nhà phố B</t>
  </si>
  <si>
    <t>Nhà phố</t>
  </si>
  <si>
    <t>MG02</t>
  </si>
  <si>
    <t>SH003</t>
  </si>
  <si>
    <t>Căn hộ C</t>
  </si>
  <si>
    <t>SH004</t>
  </si>
  <si>
    <t>Biệt thự D</t>
  </si>
  <si>
    <t>Biệt thự</t>
  </si>
  <si>
    <t>MG03</t>
  </si>
  <si>
    <t>SH005</t>
  </si>
  <si>
    <t>Căn hộ E</t>
  </si>
  <si>
    <t>Tên môi giới</t>
  </si>
  <si>
    <t>Tỷ lệ hoa hồng</t>
  </si>
  <si>
    <t>Nguyễn Minh An</t>
  </si>
  <si>
    <t>Trần Hoàng Nam</t>
  </si>
  <si>
    <t>Lê Thu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</si>
</sst>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C274A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7193-E4DE-4F7F-A152-0FAA483CBB99}">
  <dimension ref="A1:H6"/>
  <sheetViews>
    <sheetView tabSelected="1" workbookViewId="0">
      <selection activeCell="L10" sqref="L10"/>
    </sheetView>
  </sheetViews>
  <sheetFormatPr defaultRowHeight="14.4" x14ac:dyDescent="0.3"/>
  <cols>
    <col min="1" max="8" width="9.8867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35">
      <c r="A2" s="2" t="s">
        <v>8</v>
      </c>
      <c r="B2" s="2" t="s">
        <v>9</v>
      </c>
      <c r="C2" s="2" t="s">
        <v>10</v>
      </c>
      <c r="D2" s="2">
        <v>12000000</v>
      </c>
      <c r="E2" s="3">
        <v>0.05</v>
      </c>
      <c r="F2" s="2">
        <f>D2*(1-E2)</f>
        <v>11400000</v>
      </c>
      <c r="G2" s="2" t="s">
        <v>11</v>
      </c>
      <c r="H2" s="4">
        <f>F2*VLOOKUP(G2,CongThuc!$A$2:$C$4,3,FALSE)</f>
        <v>342000</v>
      </c>
    </row>
    <row r="3" spans="1:8" ht="15" x14ac:dyDescent="0.35">
      <c r="A3" s="2" t="s">
        <v>12</v>
      </c>
      <c r="B3" s="2" t="s">
        <v>13</v>
      </c>
      <c r="C3" s="2" t="s">
        <v>14</v>
      </c>
      <c r="D3" s="2">
        <v>20000000</v>
      </c>
      <c r="E3" s="3">
        <v>0.1</v>
      </c>
      <c r="F3" s="2">
        <f t="shared" ref="F3:F6" si="0">D3*(1-E3)</f>
        <v>18000000</v>
      </c>
      <c r="G3" s="2" t="s">
        <v>15</v>
      </c>
      <c r="H3" s="4">
        <f>F3*VLOOKUP(G3,CongThuc!$A$2:$C$4,3,FALSE)</f>
        <v>720000</v>
      </c>
    </row>
    <row r="4" spans="1:8" ht="15" x14ac:dyDescent="0.35">
      <c r="A4" s="2" t="s">
        <v>16</v>
      </c>
      <c r="B4" s="2" t="s">
        <v>17</v>
      </c>
      <c r="C4" s="2" t="s">
        <v>10</v>
      </c>
      <c r="D4" s="2">
        <v>15000000</v>
      </c>
      <c r="E4" s="3">
        <v>0</v>
      </c>
      <c r="F4" s="2">
        <f t="shared" si="0"/>
        <v>15000000</v>
      </c>
      <c r="G4" s="2" t="s">
        <v>11</v>
      </c>
      <c r="H4" s="4">
        <f>F4*VLOOKUP(G4,CongThuc!$A$2:$C$4,3,FALSE)</f>
        <v>450000</v>
      </c>
    </row>
    <row r="5" spans="1:8" ht="15" x14ac:dyDescent="0.35">
      <c r="A5" s="2" t="s">
        <v>18</v>
      </c>
      <c r="B5" s="2" t="s">
        <v>19</v>
      </c>
      <c r="C5" s="2" t="s">
        <v>20</v>
      </c>
      <c r="D5" s="2">
        <v>30000000</v>
      </c>
      <c r="E5" s="3">
        <v>0.08</v>
      </c>
      <c r="F5" s="2">
        <f t="shared" si="0"/>
        <v>27600000</v>
      </c>
      <c r="G5" s="2" t="s">
        <v>21</v>
      </c>
      <c r="H5" s="4">
        <f>F5*VLOOKUP(G5,CongThuc!$A$2:$C$4,3,FALSE)</f>
        <v>1380000</v>
      </c>
    </row>
    <row r="6" spans="1:8" ht="15" x14ac:dyDescent="0.35">
      <c r="A6" s="2" t="s">
        <v>22</v>
      </c>
      <c r="B6" s="2" t="s">
        <v>23</v>
      </c>
      <c r="C6" s="2" t="s">
        <v>10</v>
      </c>
      <c r="D6" s="2">
        <v>10000000</v>
      </c>
      <c r="E6" s="3">
        <v>0.05</v>
      </c>
      <c r="F6" s="2">
        <f t="shared" si="0"/>
        <v>9500000</v>
      </c>
      <c r="G6" s="2" t="s">
        <v>15</v>
      </c>
      <c r="H6" s="4">
        <f>F6*VLOOKUP(G6,CongThuc!$A$2:$C$4,3,FALSE)</f>
        <v>380000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5C34-8CB7-49AD-B7D9-CBF02C3AC97C}">
  <dimension ref="A1:C4"/>
  <sheetViews>
    <sheetView workbookViewId="0">
      <selection activeCell="B7" sqref="B7"/>
    </sheetView>
  </sheetViews>
  <sheetFormatPr defaultRowHeight="14.4" x14ac:dyDescent="0.3"/>
  <cols>
    <col min="1" max="3" width="13.5546875" customWidth="1"/>
  </cols>
  <sheetData>
    <row r="1" spans="1:3" x14ac:dyDescent="0.3">
      <c r="A1" s="1" t="s">
        <v>6</v>
      </c>
      <c r="B1" s="1" t="s">
        <v>24</v>
      </c>
      <c r="C1" s="1" t="s">
        <v>25</v>
      </c>
    </row>
    <row r="2" spans="1:3" ht="28.8" x14ac:dyDescent="0.3">
      <c r="A2" s="2" t="s">
        <v>11</v>
      </c>
      <c r="B2" s="2" t="s">
        <v>26</v>
      </c>
      <c r="C2" s="3">
        <v>0.03</v>
      </c>
    </row>
    <row r="3" spans="1:3" ht="43.2" x14ac:dyDescent="0.3">
      <c r="A3" s="2" t="s">
        <v>15</v>
      </c>
      <c r="B3" s="2" t="s">
        <v>27</v>
      </c>
      <c r="C3" s="3">
        <v>0.04</v>
      </c>
    </row>
    <row r="4" spans="1:3" ht="28.8" x14ac:dyDescent="0.3">
      <c r="A4" s="2" t="s">
        <v>21</v>
      </c>
      <c r="B4" s="2" t="s">
        <v>28</v>
      </c>
      <c r="C4" s="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NhaDat</vt:lpstr>
      <vt:lpstr>CongThuc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Linh</dc:creator>
  <cp:lastModifiedBy>Nguyen Linh</cp:lastModifiedBy>
  <dcterms:created xsi:type="dcterms:W3CDTF">2026-10-26T16:29:42Z</dcterms:created>
  <dcterms:modified xsi:type="dcterms:W3CDTF">2026-10-26T16:37:41Z</dcterms:modified>
</cp:coreProperties>
</file>